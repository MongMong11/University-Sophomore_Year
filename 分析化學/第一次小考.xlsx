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常用資料\DATA\嘉義大學授課\106-1\小考\"/>
    </mc:Choice>
  </mc:AlternateContent>
  <bookViews>
    <workbookView xWindow="0" yWindow="0" windowWidth="19035" windowHeight="9615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5" i="1"/>
  <c r="G4" i="1"/>
  <c r="K17" i="1" l="1"/>
  <c r="K16" i="1"/>
  <c r="K21" i="1"/>
  <c r="K20" i="1"/>
  <c r="G20" i="1" l="1"/>
  <c r="G17" i="1"/>
  <c r="G14" i="1"/>
  <c r="G11" i="1"/>
  <c r="G7" i="1"/>
</calcChain>
</file>

<file path=xl/sharedStrings.xml><?xml version="1.0" encoding="utf-8"?>
<sst xmlns="http://schemas.openxmlformats.org/spreadsheetml/2006/main" count="28" uniqueCount="21">
  <si>
    <t>K3Fe(CN)6</t>
    <phoneticPr fontId="3" type="noConversion"/>
  </si>
  <si>
    <t>mL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</si>
  <si>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</si>
  <si>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</si>
  <si>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</si>
  <si>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</si>
  <si>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a</t>
    <phoneticPr fontId="3" type="noConversion"/>
  </si>
  <si>
    <t>V</t>
    <phoneticPr fontId="3" type="noConversion"/>
  </si>
  <si>
    <t>M</t>
    <phoneticPr fontId="3" type="noConversion"/>
  </si>
  <si>
    <t>g</t>
    <phoneticPr fontId="3" type="noConversion"/>
  </si>
  <si>
    <t>b</t>
    <phoneticPr fontId="3" type="noConversion"/>
  </si>
  <si>
    <t>%</t>
    <phoneticPr fontId="3" type="noConversion"/>
  </si>
  <si>
    <t>M</t>
    <phoneticPr fontId="3" type="noConversion"/>
  </si>
  <si>
    <t>L</t>
    <phoneticPr fontId="3" type="noConversion"/>
  </si>
  <si>
    <t>M</t>
    <phoneticPr fontId="3" type="noConversion"/>
  </si>
  <si>
    <t>%</t>
    <phoneticPr fontId="3" type="noConversion"/>
  </si>
  <si>
    <t>sg</t>
    <phoneticPr fontId="3" type="noConversion"/>
  </si>
  <si>
    <t>V</t>
    <phoneticPr fontId="3" type="noConversion"/>
  </si>
  <si>
    <t>ppm</t>
    <phoneticPr fontId="3" type="noConversion"/>
  </si>
  <si>
    <t>M</t>
    <phoneticPr fontId="3" type="noConversion"/>
  </si>
  <si>
    <t>mmol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</si>
</sst>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%"/>
    <numFmt numFmtId="177" formatCode="0.00000"/>
    <numFmt numFmtId="178" formatCode="0.000"/>
  </numFmts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176" fontId="2" fillId="0" borderId="0" xfId="1" applyNumberFormat="1" applyFont="1">
      <alignment vertical="center"/>
    </xf>
    <xf numFmtId="177" fontId="2" fillId="0" borderId="0" xfId="0" applyNumberFormat="1" applyFont="1">
      <alignment vertical="center"/>
    </xf>
    <xf numFmtId="178" fontId="2" fillId="0" borderId="0" xfId="0" applyNumberFormat="1" applyFo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21"/>
  <sheetViews>
    <sheetView tabSelected="1" workbookViewId="0">
      <selection activeCell="L9" sqref="L9"/>
    </sheetView>
  </sheetViews>
  <sheetFormatPr defaultRowHeight="16.5" x14ac:dyDescent="0.25"/>
  <cols>
    <col min="3" max="3" width="16.375" customWidth="1"/>
    <col min="7" max="7" width="10" bestFit="1" customWidth="1"/>
  </cols>
  <sheetData>
    <row r="3" spans="2:11" x14ac:dyDescent="0.25">
      <c r="B3">
        <v>7</v>
      </c>
    </row>
    <row r="4" spans="2:11" x14ac:dyDescent="0.25">
      <c r="C4" t="s">
        <v>0</v>
      </c>
      <c r="D4" t="s">
        <v>1</v>
      </c>
      <c r="F4" t="s">
        <v>2</v>
      </c>
      <c r="G4" s="4">
        <f>3*(C5/329.2)/D5</f>
        <v>4.3742405832320778E-3</v>
      </c>
      <c r="H4" t="s">
        <v>14</v>
      </c>
    </row>
    <row r="5" spans="2:11" x14ac:dyDescent="0.25">
      <c r="C5" s="1">
        <v>240</v>
      </c>
      <c r="D5" s="1">
        <v>500</v>
      </c>
      <c r="F5" t="s">
        <v>3</v>
      </c>
      <c r="G5" s="4">
        <f>(C5/329.2)/D5</f>
        <v>1.4580801944106927E-3</v>
      </c>
      <c r="H5" t="s">
        <v>19</v>
      </c>
    </row>
    <row r="6" spans="2:11" x14ac:dyDescent="0.25">
      <c r="F6" t="s">
        <v>4</v>
      </c>
      <c r="G6" s="3">
        <f>3*39*0.001*(C5/329.2)/D5</f>
        <v>1.7059538274605106E-4</v>
      </c>
    </row>
    <row r="7" spans="2:11" x14ac:dyDescent="0.25">
      <c r="F7" t="s">
        <v>5</v>
      </c>
      <c r="G7" s="5">
        <f>G4*50</f>
        <v>0.2187120291616039</v>
      </c>
      <c r="H7" t="s">
        <v>20</v>
      </c>
    </row>
    <row r="9" spans="2:11" x14ac:dyDescent="0.25">
      <c r="B9">
        <v>8</v>
      </c>
    </row>
    <row r="10" spans="2:11" x14ac:dyDescent="0.25">
      <c r="B10" t="s">
        <v>6</v>
      </c>
      <c r="C10" t="s">
        <v>7</v>
      </c>
      <c r="D10" t="s">
        <v>8</v>
      </c>
    </row>
    <row r="11" spans="2:11" x14ac:dyDescent="0.25">
      <c r="C11" s="1">
        <v>250</v>
      </c>
      <c r="D11" s="1">
        <v>0.04</v>
      </c>
      <c r="G11" s="2">
        <f>D11*C11*0.5*278.11*0.001</f>
        <v>1.3905500000000002</v>
      </c>
      <c r="H11" s="2" t="s">
        <v>9</v>
      </c>
    </row>
    <row r="13" spans="2:11" x14ac:dyDescent="0.25">
      <c r="B13" t="s">
        <v>10</v>
      </c>
      <c r="C13" t="s">
        <v>7</v>
      </c>
      <c r="D13" t="s">
        <v>11</v>
      </c>
      <c r="E13" t="s">
        <v>12</v>
      </c>
    </row>
    <row r="14" spans="2:11" x14ac:dyDescent="0.25">
      <c r="C14" s="1">
        <v>200</v>
      </c>
      <c r="D14" s="1">
        <v>2.5</v>
      </c>
      <c r="E14" s="1">
        <v>0.2</v>
      </c>
      <c r="G14" s="5">
        <f>0.01*C14*D14/(159.6*E14)</f>
        <v>0.15664160401002505</v>
      </c>
      <c r="H14" t="s">
        <v>13</v>
      </c>
    </row>
    <row r="16" spans="2:11" x14ac:dyDescent="0.25">
      <c r="B16" t="s">
        <v>4</v>
      </c>
      <c r="C16" t="s">
        <v>7</v>
      </c>
      <c r="D16" t="s">
        <v>14</v>
      </c>
      <c r="E16" t="s">
        <v>15</v>
      </c>
      <c r="F16" t="s">
        <v>16</v>
      </c>
      <c r="K16">
        <f>0.25*1.5*40*2/1.525</f>
        <v>19.672131147540984</v>
      </c>
    </row>
    <row r="17" spans="2:11" x14ac:dyDescent="0.25">
      <c r="C17" s="1">
        <v>1.5</v>
      </c>
      <c r="D17" s="1">
        <v>0.36</v>
      </c>
      <c r="E17" s="1">
        <v>50</v>
      </c>
      <c r="F17" s="1">
        <v>1.5249999999999999</v>
      </c>
      <c r="G17" s="5">
        <f>C17*D17*40/(F17*1000*E17*0.01)</f>
        <v>2.8327868852459019E-2</v>
      </c>
      <c r="H17" t="s">
        <v>13</v>
      </c>
      <c r="K17">
        <f>12*1.2*0.36835*0.25/39.1</f>
        <v>3.391457800511509E-2</v>
      </c>
    </row>
    <row r="19" spans="2:11" x14ac:dyDescent="0.25">
      <c r="B19" t="s">
        <v>5</v>
      </c>
      <c r="C19" t="s">
        <v>17</v>
      </c>
      <c r="D19" t="s">
        <v>18</v>
      </c>
    </row>
    <row r="20" spans="2:11" x14ac:dyDescent="0.25">
      <c r="C20" s="1">
        <v>1.2</v>
      </c>
      <c r="D20" s="1">
        <v>18</v>
      </c>
      <c r="G20" s="5">
        <f>C20*D20*0.001*0.25*368.35/39.1</f>
        <v>5.0871867007672628E-2</v>
      </c>
      <c r="H20" t="s">
        <v>9</v>
      </c>
      <c r="K20">
        <f>0.144/39</f>
        <v>3.6923076923076922E-3</v>
      </c>
    </row>
    <row r="21" spans="2:11" x14ac:dyDescent="0.25">
      <c r="K21">
        <f>10/159.6</f>
        <v>6.2656641604010022E-2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jyhcheng</dc:creator>
  <cp:lastModifiedBy>jyhcheng</cp:lastModifiedBy>
  <dcterms:created xsi:type="dcterms:W3CDTF">2017-10-22T01:23:03Z</dcterms:created>
  <dcterms:modified xsi:type="dcterms:W3CDTF">2017-10-29T12:12:41Z</dcterms:modified>
</cp:coreProperties>
</file>